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cadeenergyinc-my.sharepoint.com/personal/ryan_timme_cascadeenergy_com/Documents/Desktop/"/>
    </mc:Choice>
  </mc:AlternateContent>
  <xr:revisionPtr revIDLastSave="0" documentId="8_{665A0250-83FB-487A-8FE8-BFB31325A197}" xr6:coauthVersionLast="47" xr6:coauthVersionMax="47" xr10:uidLastSave="{00000000-0000-0000-0000-000000000000}"/>
  <bookViews>
    <workbookView xWindow="28680" yWindow="-120" windowWidth="29040" windowHeight="15720" xr2:uid="{45EE0D05-5E4A-4918-AE2B-0AC6C042A4B3}"/>
  </bookViews>
  <sheets>
    <sheet name="Rough Calcs" sheetId="4" r:id="rId1"/>
    <sheet name="Setup" sheetId="1" r:id="rId2"/>
    <sheet name="Analysis" sheetId="2" r:id="rId3"/>
    <sheet name="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E6" i="2"/>
  <c r="F6" i="2"/>
  <c r="G6" i="2"/>
  <c r="H6" i="2"/>
  <c r="I6" i="2"/>
  <c r="J6" i="2"/>
  <c r="K6" i="2"/>
  <c r="L6" i="2"/>
  <c r="M6" i="2"/>
  <c r="N6" i="2"/>
  <c r="O6" i="2"/>
  <c r="P6" i="2"/>
  <c r="Q6" i="2"/>
  <c r="C6" i="2"/>
  <c r="H10" i="3"/>
  <c r="H11" i="3" l="1"/>
  <c r="H14" i="3" s="1"/>
  <c r="C25" i="3" l="1"/>
  <c r="C15" i="3"/>
  <c r="C14" i="3"/>
  <c r="C16" i="3" s="1"/>
  <c r="C23" i="3" s="1"/>
  <c r="H7" i="3" s="1"/>
  <c r="H6" i="3"/>
  <c r="C5" i="3"/>
  <c r="C12" i="3" s="1"/>
  <c r="H3" i="3"/>
  <c r="C26" i="3" l="1"/>
  <c r="H4" i="3"/>
  <c r="H13" i="3" l="1"/>
  <c r="H15" i="3"/>
  <c r="Q4" i="2" l="1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<sst xmlns="http://schemas.openxmlformats.org/spreadsheetml/2006/main" count="102" uniqueCount="49">
  <si>
    <t>Max</t>
  </si>
  <si>
    <t>Min</t>
  </si>
  <si>
    <t>Average</t>
  </si>
  <si>
    <t>Operating Condition</t>
  </si>
  <si>
    <t>&gt;1</t>
  </si>
  <si>
    <t>Operating Average</t>
  </si>
  <si>
    <t>LOGGED DATA</t>
  </si>
  <si>
    <t>Date</t>
  </si>
  <si>
    <t>Amps</t>
  </si>
  <si>
    <t>BASELINE</t>
  </si>
  <si>
    <t>Annual Hours</t>
  </si>
  <si>
    <t>hr/yr</t>
  </si>
  <si>
    <t>kW</t>
  </si>
  <si>
    <t>Duty Cycle</t>
  </si>
  <si>
    <t>-</t>
  </si>
  <si>
    <t>Baseline Energy</t>
  </si>
  <si>
    <t>kWh/yr</t>
  </si>
  <si>
    <t>Operating Hours</t>
  </si>
  <si>
    <t>UPGRADE</t>
  </si>
  <si>
    <t>Upgrade Energy</t>
  </si>
  <si>
    <t>SAVINGS</t>
  </si>
  <si>
    <t>Demand Realization</t>
  </si>
  <si>
    <t>$/kW*mo</t>
  </si>
  <si>
    <t>Avg. Power</t>
  </si>
  <si>
    <t>Energy Savings</t>
  </si>
  <si>
    <t>$/kWh</t>
  </si>
  <si>
    <t>Energy Consumption</t>
  </si>
  <si>
    <t>Annual Cost Savings</t>
  </si>
  <si>
    <t>$/yr</t>
  </si>
  <si>
    <t>tonnes/yr</t>
  </si>
  <si>
    <t>Power</t>
  </si>
  <si>
    <t>Energy</t>
  </si>
  <si>
    <r>
      <t>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e Reduction</t>
    </r>
  </si>
  <si>
    <t>Baseline Avg. Power</t>
  </si>
  <si>
    <t>Upgrade Avg. Power</t>
  </si>
  <si>
    <t>Demand Savings</t>
  </si>
  <si>
    <t>INPUTS</t>
  </si>
  <si>
    <t>Demand Rate</t>
  </si>
  <si>
    <t>Energy Rate</t>
  </si>
  <si>
    <t>Incentive Rate</t>
  </si>
  <si>
    <t>Emissions Rate</t>
  </si>
  <si>
    <r>
      <t>lb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e/kWh</t>
    </r>
  </si>
  <si>
    <t>Equipment ID</t>
  </si>
  <si>
    <t>Make</t>
  </si>
  <si>
    <t>Model</t>
  </si>
  <si>
    <t>Rated Horsepower</t>
  </si>
  <si>
    <t>…</t>
  </si>
  <si>
    <t>BASELINE EQUIPMENT</t>
  </si>
  <si>
    <t>UPGRADE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</si>
</sst>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-#,##0"/>
    <numFmt numFmtId="165" formatCode="m/d/yy"/>
    <numFmt numFmtId="166" formatCode="m/d/yy\ hh:mm:ss"/>
    <numFmt numFmtId="167" formatCode="#,##0.0"/>
    <numFmt numFmtId="168" formatCode="0.0%"/>
    <numFmt numFmtId="169" formatCode="0.000"/>
    <numFmt numFmtId="170" formatCode="0.00000"/>
    <numFmt numFmtId="171" formatCode="#,##0.0;[Red]\-#,##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 applyProtection="1">
      <protection locked="0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 applyAlignment="1">
      <alignment horizontal="center" vertical="center"/>
    </xf>
    <xf numFmtId="165" fontId="0" fillId="2" borderId="0" xfId="0" applyNumberFormat="1" applyFill="1"/>
    <xf numFmtId="166" fontId="0" fillId="2" borderId="0" xfId="0" applyNumberFormat="1" applyFill="1"/>
    <xf numFmtId="167" fontId="0" fillId="2" borderId="0" xfId="0" applyNumberFormat="1" applyFill="1" applyAlignment="1" applyProtection="1">
      <alignment horizontal="center"/>
      <protection locked="0"/>
    </xf>
    <xf numFmtId="0" fontId="0" fillId="2" borderId="10" xfId="0" applyFill="1" applyBorder="1" applyAlignment="1">
      <alignment horizontal="right"/>
    </xf>
    <xf numFmtId="164" fontId="0" fillId="2" borderId="11" xfId="0" applyNumberFormat="1" applyFill="1" applyBorder="1" applyAlignment="1">
      <alignment horizontal="center"/>
    </xf>
    <xf numFmtId="0" fontId="0" fillId="2" borderId="12" xfId="0" applyFill="1" applyBorder="1"/>
    <xf numFmtId="168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right"/>
    </xf>
    <xf numFmtId="164" fontId="0" fillId="2" borderId="14" xfId="0" applyNumberFormat="1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 applyAlignment="1">
      <alignment horizontal="right"/>
    </xf>
    <xf numFmtId="164" fontId="0" fillId="2" borderId="17" xfId="0" applyNumberFormat="1" applyFill="1" applyBorder="1" applyAlignment="1">
      <alignment horizontal="center"/>
    </xf>
    <xf numFmtId="0" fontId="0" fillId="2" borderId="18" xfId="0" applyFill="1" applyBorder="1"/>
    <xf numFmtId="164" fontId="0" fillId="2" borderId="20" xfId="0" applyNumberFormat="1" applyFill="1" applyBorder="1" applyAlignment="1">
      <alignment horizontal="center"/>
    </xf>
    <xf numFmtId="0" fontId="0" fillId="2" borderId="21" xfId="0" applyFill="1" applyBorder="1"/>
    <xf numFmtId="0" fontId="2" fillId="2" borderId="10" xfId="0" applyFont="1" applyFill="1" applyBorder="1" applyAlignment="1">
      <alignment horizontal="right"/>
    </xf>
    <xf numFmtId="168" fontId="2" fillId="2" borderId="11" xfId="0" applyNumberFormat="1" applyFont="1" applyFill="1" applyBorder="1" applyAlignment="1">
      <alignment horizontal="center"/>
    </xf>
    <xf numFmtId="0" fontId="2" fillId="2" borderId="12" xfId="0" applyFont="1" applyFill="1" applyBorder="1"/>
    <xf numFmtId="0" fontId="4" fillId="0" borderId="0" xfId="0" applyFont="1"/>
    <xf numFmtId="0" fontId="3" fillId="2" borderId="10" xfId="0" applyFont="1" applyFill="1" applyBorder="1" applyAlignment="1">
      <alignment horizontal="right"/>
    </xf>
    <xf numFmtId="164" fontId="3" fillId="2" borderId="11" xfId="0" applyNumberFormat="1" applyFont="1" applyFill="1" applyBorder="1" applyAlignment="1">
      <alignment horizontal="center"/>
    </xf>
    <xf numFmtId="0" fontId="3" fillId="2" borderId="12" xfId="0" applyFont="1" applyFill="1" applyBorder="1"/>
    <xf numFmtId="0" fontId="3" fillId="2" borderId="13" xfId="0" applyFont="1" applyFill="1" applyBorder="1" applyAlignment="1">
      <alignment horizontal="right"/>
    </xf>
    <xf numFmtId="164" fontId="3" fillId="2" borderId="14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3" borderId="7" xfId="0" applyFont="1" applyFill="1" applyBorder="1" applyAlignment="1">
      <alignment horizontal="right"/>
    </xf>
    <xf numFmtId="164" fontId="3" fillId="3" borderId="8" xfId="0" applyNumberFormat="1" applyFont="1" applyFill="1" applyBorder="1" applyAlignment="1">
      <alignment horizontal="center"/>
    </xf>
    <xf numFmtId="0" fontId="3" fillId="3" borderId="9" xfId="0" applyFont="1" applyFill="1" applyBorder="1"/>
    <xf numFmtId="0" fontId="3" fillId="2" borderId="16" xfId="0" applyFont="1" applyFill="1" applyBorder="1" applyAlignment="1">
      <alignment horizontal="right"/>
    </xf>
    <xf numFmtId="164" fontId="3" fillId="2" borderId="17" xfId="0" applyNumberFormat="1" applyFont="1" applyFill="1" applyBorder="1" applyAlignment="1">
      <alignment horizontal="center"/>
    </xf>
    <xf numFmtId="0" fontId="3" fillId="2" borderId="18" xfId="0" applyFont="1" applyFill="1" applyBorder="1"/>
    <xf numFmtId="171" fontId="0" fillId="2" borderId="0" xfId="0" applyNumberFormat="1" applyFill="1" applyAlignment="1">
      <alignment horizontal="center"/>
    </xf>
    <xf numFmtId="0" fontId="3" fillId="0" borderId="0" xfId="0" applyFont="1"/>
    <xf numFmtId="0" fontId="1" fillId="4" borderId="7" xfId="2" applyFill="1" applyBorder="1" applyAlignment="1">
      <alignment horizontal="right"/>
    </xf>
    <xf numFmtId="169" fontId="1" fillId="4" borderId="8" xfId="2" applyNumberFormat="1" applyFill="1" applyBorder="1" applyAlignment="1">
      <alignment horizontal="center"/>
    </xf>
    <xf numFmtId="0" fontId="6" fillId="4" borderId="9" xfId="2" applyFont="1" applyFill="1" applyBorder="1"/>
    <xf numFmtId="0" fontId="1" fillId="4" borderId="10" xfId="2" applyFill="1" applyBorder="1" applyAlignment="1">
      <alignment horizontal="right"/>
    </xf>
    <xf numFmtId="170" fontId="1" fillId="4" borderId="11" xfId="2" applyNumberFormat="1" applyFill="1" applyBorder="1" applyAlignment="1">
      <alignment horizontal="center"/>
    </xf>
    <xf numFmtId="0" fontId="6" fillId="4" borderId="12" xfId="2" applyFont="1" applyFill="1" applyBorder="1"/>
    <xf numFmtId="0" fontId="1" fillId="4" borderId="11" xfId="2" applyFill="1" applyBorder="1" applyAlignment="1">
      <alignment horizontal="center"/>
    </xf>
    <xf numFmtId="0" fontId="1" fillId="4" borderId="12" xfId="2" applyFill="1" applyBorder="1"/>
    <xf numFmtId="0" fontId="1" fillId="4" borderId="16" xfId="2" applyFill="1" applyBorder="1" applyAlignment="1">
      <alignment horizontal="right"/>
    </xf>
    <xf numFmtId="0" fontId="1" fillId="4" borderId="17" xfId="2" applyFill="1" applyBorder="1" applyAlignment="1">
      <alignment horizontal="center"/>
    </xf>
    <xf numFmtId="0" fontId="1" fillId="4" borderId="18" xfId="2" applyFill="1" applyBorder="1"/>
    <xf numFmtId="0" fontId="0" fillId="2" borderId="19" xfId="0" applyFill="1" applyBorder="1" applyAlignment="1">
      <alignment horizontal="right"/>
    </xf>
    <xf numFmtId="0" fontId="3" fillId="3" borderId="22" xfId="0" applyFont="1" applyFill="1" applyBorder="1"/>
    <xf numFmtId="0" fontId="0" fillId="3" borderId="23" xfId="0" applyFill="1" applyBorder="1"/>
    <xf numFmtId="0" fontId="0" fillId="3" borderId="24" xfId="0" applyFill="1" applyBorder="1"/>
    <xf numFmtId="0" fontId="3" fillId="3" borderId="3" xfId="0" applyFont="1" applyFill="1" applyBorder="1"/>
    <xf numFmtId="0" fontId="0" fillId="3" borderId="25" xfId="0" applyFill="1" applyBorder="1"/>
    <xf numFmtId="0" fontId="0" fillId="2" borderId="26" xfId="0" applyFill="1" applyBorder="1" applyAlignment="1">
      <alignment horizontal="right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3" fillId="2" borderId="28" xfId="0" applyFont="1" applyFill="1" applyBorder="1"/>
    <xf numFmtId="167" fontId="0" fillId="2" borderId="28" xfId="0" applyNumberFormat="1" applyFill="1" applyBorder="1" applyAlignment="1" applyProtection="1">
      <alignment horizontal="center"/>
      <protection locked="0"/>
    </xf>
    <xf numFmtId="0" fontId="3" fillId="2" borderId="28" xfId="0" applyFont="1" applyFill="1" applyBorder="1" applyProtection="1">
      <protection locked="0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64" fontId="0" fillId="2" borderId="27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</cellXfs>
  <cellStyles count="3">
    <cellStyle name="Normal" xfId="0" builtinId="0"/>
    <cellStyle name="Normal 10" xfId="2" xr:uid="{F2CB0AE0-5C7D-4D27-9E98-E9EBECA42A49}"/>
    <cellStyle name="Normal 6" xfId="1" xr:uid="{871172F2-55B4-456A-A6CA-EB1F4DB46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C4F9-DD46-40BF-B625-A7D5C3F98FC5}">
  <sheetPr>
    <tabColor theme="8" tint="-0.249977111117893"/>
  </sheetPr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2F16-440B-4F44-A9BA-D3D18AC55B73}">
  <dimension ref="B1:C23"/>
  <sheetViews>
    <sheetView workbookViewId="0"/>
  </sheetViews>
  <sheetFormatPr defaultRowHeight="15" x14ac:dyDescent="0.25"/>
  <cols>
    <col min="2" max="2" width="20" customWidth="1"/>
  </cols>
  <sheetData>
    <row r="1" spans="2:3" ht="15.75" thickBot="1" x14ac:dyDescent="0.3"/>
    <row r="2" spans="2:3" x14ac:dyDescent="0.25">
      <c r="B2" s="56" t="s">
        <v>47</v>
      </c>
      <c r="C2" s="57"/>
    </row>
    <row r="3" spans="2:3" x14ac:dyDescent="0.25">
      <c r="B3" s="58" t="s">
        <v>42</v>
      </c>
      <c r="C3" s="70"/>
    </row>
    <row r="4" spans="2:3" x14ac:dyDescent="0.25">
      <c r="B4" s="11" t="s">
        <v>43</v>
      </c>
      <c r="C4" s="71"/>
    </row>
    <row r="5" spans="2:3" x14ac:dyDescent="0.25">
      <c r="B5" s="11" t="s">
        <v>44</v>
      </c>
      <c r="C5" s="71"/>
    </row>
    <row r="6" spans="2:3" x14ac:dyDescent="0.25">
      <c r="B6" s="11" t="s">
        <v>45</v>
      </c>
      <c r="C6" s="71"/>
    </row>
    <row r="7" spans="2:3" x14ac:dyDescent="0.25">
      <c r="B7" s="11" t="s">
        <v>46</v>
      </c>
      <c r="C7" s="71"/>
    </row>
    <row r="8" spans="2:3" x14ac:dyDescent="0.25">
      <c r="B8" s="11" t="s">
        <v>46</v>
      </c>
      <c r="C8" s="71"/>
    </row>
    <row r="9" spans="2:3" x14ac:dyDescent="0.25">
      <c r="B9" s="11" t="s">
        <v>46</v>
      </c>
      <c r="C9" s="71"/>
    </row>
    <row r="10" spans="2:3" x14ac:dyDescent="0.25">
      <c r="B10" s="11" t="s">
        <v>46</v>
      </c>
      <c r="C10" s="71"/>
    </row>
    <row r="11" spans="2:3" ht="15.75" thickBot="1" x14ac:dyDescent="0.3">
      <c r="B11" s="18" t="s">
        <v>46</v>
      </c>
      <c r="C11" s="72"/>
    </row>
    <row r="13" spans="2:3" ht="15.75" thickBot="1" x14ac:dyDescent="0.3"/>
    <row r="14" spans="2:3" x14ac:dyDescent="0.25">
      <c r="B14" s="56" t="s">
        <v>48</v>
      </c>
      <c r="C14" s="57"/>
    </row>
    <row r="15" spans="2:3" x14ac:dyDescent="0.25">
      <c r="B15" s="58" t="s">
        <v>42</v>
      </c>
      <c r="C15" s="70"/>
    </row>
    <row r="16" spans="2:3" x14ac:dyDescent="0.25">
      <c r="B16" s="11" t="s">
        <v>43</v>
      </c>
      <c r="C16" s="71"/>
    </row>
    <row r="17" spans="2:3" x14ac:dyDescent="0.25">
      <c r="B17" s="11" t="s">
        <v>44</v>
      </c>
      <c r="C17" s="71"/>
    </row>
    <row r="18" spans="2:3" x14ac:dyDescent="0.25">
      <c r="B18" s="11" t="s">
        <v>45</v>
      </c>
      <c r="C18" s="71"/>
    </row>
    <row r="19" spans="2:3" x14ac:dyDescent="0.25">
      <c r="B19" s="11" t="s">
        <v>46</v>
      </c>
      <c r="C19" s="71"/>
    </row>
    <row r="20" spans="2:3" x14ac:dyDescent="0.25">
      <c r="B20" s="11" t="s">
        <v>46</v>
      </c>
      <c r="C20" s="71"/>
    </row>
    <row r="21" spans="2:3" x14ac:dyDescent="0.25">
      <c r="B21" s="11" t="s">
        <v>46</v>
      </c>
      <c r="C21" s="71"/>
    </row>
    <row r="22" spans="2:3" x14ac:dyDescent="0.25">
      <c r="B22" s="11" t="s">
        <v>46</v>
      </c>
      <c r="C22" s="71"/>
    </row>
    <row r="23" spans="2:3" ht="15.75" thickBot="1" x14ac:dyDescent="0.3">
      <c r="B23" s="18" t="s">
        <v>46</v>
      </c>
      <c r="C23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CF53-5255-4C93-9EB8-14FD4F96B407}">
  <dimension ref="A1:Q41"/>
  <sheetViews>
    <sheetView workbookViewId="0">
      <pane ySplit="17" topLeftCell="A18" activePane="bottomLeft" state="frozen"/>
      <selection pane="bottomLeft"/>
    </sheetView>
  </sheetViews>
  <sheetFormatPr defaultRowHeight="15" x14ac:dyDescent="0.25"/>
  <cols>
    <col min="1" max="1" width="3.140625" style="1" customWidth="1"/>
    <col min="2" max="2" width="19.28515625" style="1" bestFit="1" customWidth="1"/>
    <col min="3" max="16384" width="9.140625" style="1"/>
  </cols>
  <sheetData>
    <row r="1" spans="1:17" x14ac:dyDescent="0.25">
      <c r="B1" s="67"/>
      <c r="C1" s="68"/>
      <c r="D1" s="68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x14ac:dyDescent="0.25">
      <c r="B2" s="2" t="s">
        <v>0</v>
      </c>
      <c r="C2" s="10">
        <f>MAX(C12:C999999)</f>
        <v>20</v>
      </c>
      <c r="D2" s="10">
        <f>MAX(D12:D999999)</f>
        <v>1</v>
      </c>
      <c r="E2" s="10">
        <f t="shared" ref="E2:Q2" si="0">MAX(E12:E999999)</f>
        <v>0</v>
      </c>
      <c r="F2" s="10">
        <f t="shared" si="0"/>
        <v>0</v>
      </c>
      <c r="G2" s="10">
        <f t="shared" si="0"/>
        <v>0</v>
      </c>
      <c r="H2" s="10">
        <f t="shared" si="0"/>
        <v>0</v>
      </c>
      <c r="I2" s="10">
        <f t="shared" si="0"/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P2" s="10">
        <f t="shared" si="0"/>
        <v>0</v>
      </c>
      <c r="Q2" s="10">
        <f t="shared" si="0"/>
        <v>0</v>
      </c>
    </row>
    <row r="3" spans="1:17" x14ac:dyDescent="0.25">
      <c r="B3" s="2" t="s">
        <v>1</v>
      </c>
      <c r="C3" s="10">
        <f>MIN(C12:C999999)</f>
        <v>0</v>
      </c>
      <c r="D3" s="10">
        <f>MIN(D12:D999999)</f>
        <v>0</v>
      </c>
      <c r="E3" s="10">
        <f t="shared" ref="E3:Q3" si="1">MIN(E12:E999999)</f>
        <v>0</v>
      </c>
      <c r="F3" s="10">
        <f t="shared" si="1"/>
        <v>0</v>
      </c>
      <c r="G3" s="10">
        <f t="shared" si="1"/>
        <v>0</v>
      </c>
      <c r="H3" s="10">
        <f t="shared" si="1"/>
        <v>0</v>
      </c>
      <c r="I3" s="10">
        <f t="shared" si="1"/>
        <v>0</v>
      </c>
      <c r="J3" s="10">
        <f t="shared" si="1"/>
        <v>0</v>
      </c>
      <c r="K3" s="10">
        <f t="shared" si="1"/>
        <v>0</v>
      </c>
      <c r="L3" s="10">
        <f t="shared" si="1"/>
        <v>0</v>
      </c>
      <c r="M3" s="10">
        <f t="shared" si="1"/>
        <v>0</v>
      </c>
      <c r="N3" s="10">
        <f t="shared" si="1"/>
        <v>0</v>
      </c>
      <c r="O3" s="10">
        <f t="shared" si="1"/>
        <v>0</v>
      </c>
      <c r="P3" s="10">
        <f t="shared" si="1"/>
        <v>0</v>
      </c>
      <c r="Q3" s="10">
        <f t="shared" si="1"/>
        <v>0</v>
      </c>
    </row>
    <row r="4" spans="1:17" x14ac:dyDescent="0.25">
      <c r="B4" s="2" t="s">
        <v>2</v>
      </c>
      <c r="C4" s="10">
        <f>AVERAGE(C12:C999999)</f>
        <v>2.2000000000000002</v>
      </c>
      <c r="D4" s="10">
        <f>AVERAGE(D12:D999999)</f>
        <v>0.1</v>
      </c>
      <c r="E4" s="10" t="e">
        <f t="shared" ref="E4:Q4" si="2">AVERAGE(E12:E999999)</f>
        <v>#DIV/0!</v>
      </c>
      <c r="F4" s="10" t="e">
        <f t="shared" si="2"/>
        <v>#DIV/0!</v>
      </c>
      <c r="G4" s="10" t="e">
        <f t="shared" si="2"/>
        <v>#DIV/0!</v>
      </c>
      <c r="H4" s="10" t="e">
        <f t="shared" si="2"/>
        <v>#DIV/0!</v>
      </c>
      <c r="I4" s="10" t="e">
        <f t="shared" si="2"/>
        <v>#DIV/0!</v>
      </c>
      <c r="J4" s="10" t="e">
        <f t="shared" si="2"/>
        <v>#DIV/0!</v>
      </c>
      <c r="K4" s="10" t="e">
        <f t="shared" si="2"/>
        <v>#DIV/0!</v>
      </c>
      <c r="L4" s="10" t="e">
        <f t="shared" si="2"/>
        <v>#DIV/0!</v>
      </c>
      <c r="M4" s="10" t="e">
        <f t="shared" si="2"/>
        <v>#DIV/0!</v>
      </c>
      <c r="N4" s="10" t="e">
        <f t="shared" si="2"/>
        <v>#DIV/0!</v>
      </c>
      <c r="O4" s="10" t="e">
        <f t="shared" si="2"/>
        <v>#DIV/0!</v>
      </c>
      <c r="P4" s="10" t="e">
        <f t="shared" si="2"/>
        <v>#DIV/0!</v>
      </c>
      <c r="Q4" s="10" t="e">
        <f t="shared" si="2"/>
        <v>#DIV/0!</v>
      </c>
    </row>
    <row r="5" spans="1:17" x14ac:dyDescent="0.25">
      <c r="B5" s="2" t="s">
        <v>3</v>
      </c>
      <c r="C5" s="10" t="s">
        <v>4</v>
      </c>
      <c r="D5" s="10" t="s">
        <v>4</v>
      </c>
      <c r="E5" s="10" t="s">
        <v>4</v>
      </c>
      <c r="F5" s="10" t="s">
        <v>4</v>
      </c>
      <c r="G5" s="10" t="s">
        <v>4</v>
      </c>
      <c r="H5" s="10" t="s">
        <v>4</v>
      </c>
      <c r="I5" s="10" t="s">
        <v>4</v>
      </c>
      <c r="J5" s="10" t="s">
        <v>4</v>
      </c>
      <c r="K5" s="10" t="s">
        <v>4</v>
      </c>
      <c r="L5" s="10" t="s">
        <v>4</v>
      </c>
      <c r="M5" s="10" t="s">
        <v>4</v>
      </c>
      <c r="N5" s="10" t="s">
        <v>4</v>
      </c>
      <c r="O5" s="10" t="s">
        <v>4</v>
      </c>
      <c r="P5" s="10" t="s">
        <v>4</v>
      </c>
      <c r="Q5" s="10" t="s">
        <v>4</v>
      </c>
    </row>
    <row r="6" spans="1:17" x14ac:dyDescent="0.25">
      <c r="B6" s="65" t="s">
        <v>5</v>
      </c>
      <c r="C6" s="66">
        <f>IFERROR(AVERAGEIF(C12:C999999,C5),"-")</f>
        <v>11</v>
      </c>
      <c r="D6" s="66" t="str">
        <f t="shared" ref="D6:Q6" si="3">IFERROR(AVERAGEIF(D12:D999999,D5),"-")</f>
        <v>-</v>
      </c>
      <c r="E6" s="66" t="str">
        <f t="shared" si="3"/>
        <v>-</v>
      </c>
      <c r="F6" s="66" t="str">
        <f t="shared" si="3"/>
        <v>-</v>
      </c>
      <c r="G6" s="66" t="str">
        <f t="shared" si="3"/>
        <v>-</v>
      </c>
      <c r="H6" s="66" t="str">
        <f t="shared" si="3"/>
        <v>-</v>
      </c>
      <c r="I6" s="66" t="str">
        <f t="shared" si="3"/>
        <v>-</v>
      </c>
      <c r="J6" s="66" t="str">
        <f t="shared" si="3"/>
        <v>-</v>
      </c>
      <c r="K6" s="66" t="str">
        <f t="shared" si="3"/>
        <v>-</v>
      </c>
      <c r="L6" s="66" t="str">
        <f t="shared" si="3"/>
        <v>-</v>
      </c>
      <c r="M6" s="66" t="str">
        <f t="shared" si="3"/>
        <v>-</v>
      </c>
      <c r="N6" s="66" t="str">
        <f t="shared" si="3"/>
        <v>-</v>
      </c>
      <c r="O6" s="66" t="str">
        <f t="shared" si="3"/>
        <v>-</v>
      </c>
      <c r="P6" s="66" t="str">
        <f t="shared" si="3"/>
        <v>-</v>
      </c>
      <c r="Q6" s="66" t="str">
        <f t="shared" si="3"/>
        <v>-</v>
      </c>
    </row>
    <row r="7" spans="1:17" x14ac:dyDescent="0.25">
      <c r="B7" s="3"/>
      <c r="C7" s="4"/>
      <c r="D7" s="4"/>
    </row>
    <row r="8" spans="1:17" x14ac:dyDescent="0.25">
      <c r="B8" s="4"/>
      <c r="C8" s="4"/>
      <c r="D8" s="4"/>
    </row>
    <row r="9" spans="1:17" ht="15.75" thickBot="1" x14ac:dyDescent="0.3">
      <c r="B9" s="5"/>
      <c r="C9" s="6" t="s">
        <v>6</v>
      </c>
      <c r="D9" s="6"/>
    </row>
    <row r="10" spans="1:17" s="7" customFormat="1" x14ac:dyDescent="0.25">
      <c r="B10" s="59" t="s">
        <v>7</v>
      </c>
      <c r="C10" s="60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</row>
    <row r="11" spans="1:17" s="4" customFormat="1" ht="15.75" thickBot="1" x14ac:dyDescent="0.3">
      <c r="B11" s="62"/>
      <c r="C11" s="63" t="s">
        <v>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</row>
    <row r="12" spans="1:17" x14ac:dyDescent="0.25">
      <c r="A12" s="8"/>
      <c r="B12" s="8">
        <v>44359</v>
      </c>
      <c r="C12" s="39">
        <v>0</v>
      </c>
      <c r="D12" s="39">
        <v>0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17" x14ac:dyDescent="0.25">
      <c r="A13" s="8"/>
      <c r="B13" s="9">
        <v>44359.000347222223</v>
      </c>
      <c r="C13" s="39">
        <v>0</v>
      </c>
      <c r="D13" s="39">
        <v>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x14ac:dyDescent="0.25">
      <c r="A14" s="8"/>
      <c r="B14" s="9">
        <v>44359.000694444447</v>
      </c>
      <c r="C14" s="39">
        <v>0</v>
      </c>
      <c r="D14" s="39">
        <v>0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</row>
    <row r="15" spans="1:17" x14ac:dyDescent="0.25">
      <c r="A15" s="8"/>
      <c r="B15" s="9">
        <v>44359.00104166667</v>
      </c>
      <c r="C15" s="39">
        <v>2</v>
      </c>
      <c r="D15" s="39">
        <v>1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x14ac:dyDescent="0.25">
      <c r="A16" s="8"/>
      <c r="B16" s="9">
        <v>44359.001388888886</v>
      </c>
      <c r="C16" s="39">
        <v>0</v>
      </c>
      <c r="D16" s="39">
        <v>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</row>
    <row r="17" spans="1:17" x14ac:dyDescent="0.25">
      <c r="A17" s="8"/>
      <c r="B17" s="9">
        <v>44359.001736111109</v>
      </c>
      <c r="C17" s="39">
        <v>20</v>
      </c>
      <c r="D17" s="39">
        <v>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x14ac:dyDescent="0.25">
      <c r="A18" s="8"/>
      <c r="B18" s="9">
        <v>44359.002083333333</v>
      </c>
      <c r="C18" s="39">
        <v>0</v>
      </c>
      <c r="D18" s="39">
        <v>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spans="1:17" x14ac:dyDescent="0.25">
      <c r="A19" s="8"/>
      <c r="B19" s="9">
        <v>44359.002430555556</v>
      </c>
      <c r="C19" s="39">
        <v>0</v>
      </c>
      <c r="D19" s="39">
        <v>0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x14ac:dyDescent="0.25">
      <c r="A20" s="8"/>
      <c r="B20" s="9">
        <v>44359.00277777778</v>
      </c>
      <c r="C20" s="39">
        <v>0</v>
      </c>
      <c r="D20" s="39">
        <v>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spans="1:17" x14ac:dyDescent="0.25">
      <c r="A21" s="8"/>
      <c r="B21" s="9">
        <v>44359.003125000003</v>
      </c>
      <c r="C21" s="39">
        <v>0</v>
      </c>
      <c r="D21" s="39">
        <v>0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1:17" x14ac:dyDescent="0.25">
      <c r="A22" s="8"/>
      <c r="B22" s="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17" x14ac:dyDescent="0.25">
      <c r="A23" s="8"/>
      <c r="B23" s="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spans="1:17" x14ac:dyDescent="0.25">
      <c r="A24" s="8"/>
      <c r="B24" s="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spans="1:17" x14ac:dyDescent="0.25">
      <c r="A25" s="8"/>
      <c r="B25" s="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spans="1:17" x14ac:dyDescent="0.25">
      <c r="A26" s="8"/>
      <c r="B26" s="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spans="1:17" x14ac:dyDescent="0.25">
      <c r="A27" s="8"/>
      <c r="B27" s="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spans="1:17" x14ac:dyDescent="0.25">
      <c r="A28" s="8"/>
      <c r="B28" s="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1:17" x14ac:dyDescent="0.25">
      <c r="A29" s="8"/>
      <c r="B29" s="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spans="1:17" x14ac:dyDescent="0.25">
      <c r="A30" s="8"/>
      <c r="B30" s="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spans="1:17" x14ac:dyDescent="0.25">
      <c r="A31" s="8"/>
      <c r="B31" s="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spans="1:17" x14ac:dyDescent="0.25">
      <c r="A32" s="8"/>
      <c r="B32" s="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</row>
    <row r="33" spans="1:17" x14ac:dyDescent="0.25">
      <c r="A33" s="8"/>
      <c r="B33" s="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</row>
    <row r="34" spans="1:17" x14ac:dyDescent="0.25">
      <c r="A34" s="8"/>
      <c r="B34" s="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x14ac:dyDescent="0.25">
      <c r="A35" s="8"/>
      <c r="B35" s="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x14ac:dyDescent="0.25">
      <c r="A36" s="8"/>
      <c r="B36" s="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7" spans="1:17" x14ac:dyDescent="0.25">
      <c r="A37" s="8"/>
      <c r="B37" s="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38" spans="1:17" x14ac:dyDescent="0.25">
      <c r="A38" s="8"/>
      <c r="B38" s="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39" spans="1:17" x14ac:dyDescent="0.25">
      <c r="A39" s="8"/>
      <c r="B39" s="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1:17" x14ac:dyDescent="0.25">
      <c r="A40" s="8"/>
      <c r="B40" s="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1:17" x14ac:dyDescent="0.25">
      <c r="A41" s="8"/>
      <c r="B41" s="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</row>
  </sheetData>
  <pageMargins left="0.7" right="0.7" top="0.75" bottom="0.75" header="0.3" footer="0.3"/>
  <ignoredErrors>
    <ignoredError sqref="C2:Q4 D5:Q5 C6:Q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3052-01D4-4C44-99FC-280FD43C94E4}">
  <sheetPr>
    <tabColor theme="9"/>
  </sheetPr>
  <dimension ref="B1:M26"/>
  <sheetViews>
    <sheetView workbookViewId="0"/>
  </sheetViews>
  <sheetFormatPr defaultRowHeight="15" x14ac:dyDescent="0.25"/>
  <cols>
    <col min="2" max="2" width="22.85546875" customWidth="1"/>
    <col min="7" max="7" width="19.42578125" bestFit="1" customWidth="1"/>
    <col min="9" max="9" width="9.28515625" bestFit="1" customWidth="1"/>
    <col min="11" max="11" width="14.5703125" bestFit="1" customWidth="1"/>
    <col min="13" max="13" width="12" bestFit="1" customWidth="1"/>
  </cols>
  <sheetData>
    <row r="1" spans="2:13" ht="15.75" thickBot="1" x14ac:dyDescent="0.3"/>
    <row r="2" spans="2:13" ht="15.75" thickBot="1" x14ac:dyDescent="0.3">
      <c r="B2" s="53" t="s">
        <v>9</v>
      </c>
      <c r="C2" s="54"/>
      <c r="D2" s="55"/>
      <c r="G2" s="53" t="s">
        <v>9</v>
      </c>
      <c r="H2" s="54"/>
      <c r="I2" s="55"/>
      <c r="K2" s="40" t="s">
        <v>36</v>
      </c>
    </row>
    <row r="3" spans="2:13" x14ac:dyDescent="0.25">
      <c r="B3" s="52" t="s">
        <v>10</v>
      </c>
      <c r="C3" s="21">
        <v>8760</v>
      </c>
      <c r="D3" s="22" t="s">
        <v>11</v>
      </c>
      <c r="G3" s="11" t="s">
        <v>33</v>
      </c>
      <c r="H3" s="12">
        <f>ROUND(C11,0)</f>
        <v>0</v>
      </c>
      <c r="I3" s="13" t="s">
        <v>12</v>
      </c>
      <c r="K3" s="41" t="s">
        <v>37</v>
      </c>
      <c r="L3" s="42">
        <v>20</v>
      </c>
      <c r="M3" s="43" t="s">
        <v>22</v>
      </c>
    </row>
    <row r="4" spans="2:13" ht="15.75" thickBot="1" x14ac:dyDescent="0.3">
      <c r="B4" s="11" t="s">
        <v>13</v>
      </c>
      <c r="C4" s="14">
        <v>1</v>
      </c>
      <c r="D4" s="13" t="s">
        <v>14</v>
      </c>
      <c r="G4" s="15" t="s">
        <v>15</v>
      </c>
      <c r="H4" s="16">
        <f>C12</f>
        <v>0</v>
      </c>
      <c r="I4" s="17" t="s">
        <v>16</v>
      </c>
      <c r="K4" s="44" t="s">
        <v>38</v>
      </c>
      <c r="L4" s="45">
        <v>7.0000000000000007E-2</v>
      </c>
      <c r="M4" s="46" t="s">
        <v>25</v>
      </c>
    </row>
    <row r="5" spans="2:13" x14ac:dyDescent="0.25">
      <c r="B5" s="11" t="s">
        <v>17</v>
      </c>
      <c r="C5" s="12">
        <f>C3*C4</f>
        <v>8760</v>
      </c>
      <c r="D5" s="13" t="s">
        <v>11</v>
      </c>
      <c r="G5" s="53" t="s">
        <v>18</v>
      </c>
      <c r="H5" s="54"/>
      <c r="I5" s="55"/>
      <c r="K5" s="44" t="s">
        <v>39</v>
      </c>
      <c r="L5" s="47">
        <v>0.15</v>
      </c>
      <c r="M5" s="48" t="s">
        <v>25</v>
      </c>
    </row>
    <row r="6" spans="2:13" ht="18.75" thickBot="1" x14ac:dyDescent="0.4">
      <c r="B6" s="11"/>
      <c r="C6" s="12"/>
      <c r="D6" s="13"/>
      <c r="G6" s="11" t="s">
        <v>34</v>
      </c>
      <c r="H6" s="12">
        <f>ROUND(C22,0)</f>
        <v>0</v>
      </c>
      <c r="I6" s="13" t="s">
        <v>12</v>
      </c>
      <c r="K6" s="49" t="s">
        <v>40</v>
      </c>
      <c r="L6" s="50">
        <v>1.5401</v>
      </c>
      <c r="M6" s="51" t="s">
        <v>41</v>
      </c>
    </row>
    <row r="7" spans="2:13" ht="15.75" thickBot="1" x14ac:dyDescent="0.3">
      <c r="B7" s="11"/>
      <c r="C7" s="12"/>
      <c r="D7" s="13"/>
      <c r="G7" s="18" t="s">
        <v>19</v>
      </c>
      <c r="H7" s="19">
        <f>C23</f>
        <v>0</v>
      </c>
      <c r="I7" s="20" t="s">
        <v>16</v>
      </c>
    </row>
    <row r="8" spans="2:13" x14ac:dyDescent="0.25">
      <c r="B8" s="11"/>
      <c r="C8" s="12"/>
      <c r="D8" s="13"/>
      <c r="G8" s="53" t="s">
        <v>20</v>
      </c>
      <c r="H8" s="54"/>
      <c r="I8" s="55"/>
    </row>
    <row r="9" spans="2:13" x14ac:dyDescent="0.25">
      <c r="B9" s="11"/>
      <c r="C9" s="12"/>
      <c r="D9" s="13"/>
      <c r="G9" s="23" t="s">
        <v>21</v>
      </c>
      <c r="H9" s="24">
        <v>0.75</v>
      </c>
      <c r="I9" s="25" t="s">
        <v>14</v>
      </c>
    </row>
    <row r="10" spans="2:13" x14ac:dyDescent="0.25">
      <c r="B10" s="11"/>
      <c r="C10" s="12"/>
      <c r="D10" s="13"/>
      <c r="G10" s="11" t="s">
        <v>35</v>
      </c>
      <c r="H10" s="12">
        <f>ROUND((H3-H6)*H9,0)</f>
        <v>0</v>
      </c>
      <c r="I10" s="13" t="s">
        <v>12</v>
      </c>
      <c r="K10" s="26"/>
    </row>
    <row r="11" spans="2:13" ht="15.75" thickBot="1" x14ac:dyDescent="0.3">
      <c r="B11" s="27" t="s">
        <v>23</v>
      </c>
      <c r="C11" s="28">
        <v>0</v>
      </c>
      <c r="D11" s="29" t="s">
        <v>12</v>
      </c>
      <c r="G11" s="18" t="s">
        <v>24</v>
      </c>
      <c r="H11" s="19">
        <f>H4-H7</f>
        <v>0</v>
      </c>
      <c r="I11" s="20" t="s">
        <v>16</v>
      </c>
      <c r="K11" s="26"/>
    </row>
    <row r="12" spans="2:13" ht="15.75" thickBot="1" x14ac:dyDescent="0.3">
      <c r="B12" s="30" t="s">
        <v>26</v>
      </c>
      <c r="C12" s="31">
        <f>ROUND(C11*C5,-3)</f>
        <v>0</v>
      </c>
      <c r="D12" s="32" t="s">
        <v>16</v>
      </c>
    </row>
    <row r="13" spans="2:13" x14ac:dyDescent="0.25">
      <c r="B13" s="53" t="s">
        <v>18</v>
      </c>
      <c r="C13" s="54"/>
      <c r="D13" s="55"/>
      <c r="G13" s="33" t="s">
        <v>27</v>
      </c>
      <c r="H13" s="34">
        <f>H11*L4+12*L3*H10</f>
        <v>0</v>
      </c>
      <c r="I13" s="35" t="s">
        <v>28</v>
      </c>
    </row>
    <row r="14" spans="2:13" ht="18" x14ac:dyDescent="0.35">
      <c r="B14" s="11" t="s">
        <v>10</v>
      </c>
      <c r="C14" s="12">
        <f>C3</f>
        <v>8760</v>
      </c>
      <c r="D14" s="13" t="s">
        <v>11</v>
      </c>
      <c r="G14" s="11" t="s">
        <v>32</v>
      </c>
      <c r="H14" s="12">
        <f>ROUND(H11*L6/2205,0)</f>
        <v>0</v>
      </c>
      <c r="I14" s="13" t="s">
        <v>29</v>
      </c>
    </row>
    <row r="15" spans="2:13" ht="15.75" thickBot="1" x14ac:dyDescent="0.3">
      <c r="B15" s="11" t="s">
        <v>13</v>
      </c>
      <c r="C15" s="14">
        <f>C4</f>
        <v>1</v>
      </c>
      <c r="D15" s="13" t="s">
        <v>14</v>
      </c>
      <c r="G15" s="18" t="s">
        <v>24</v>
      </c>
      <c r="H15" s="19">
        <f>H11</f>
        <v>0</v>
      </c>
      <c r="I15" s="20" t="s">
        <v>16</v>
      </c>
    </row>
    <row r="16" spans="2:13" x14ac:dyDescent="0.25">
      <c r="B16" s="11" t="s">
        <v>17</v>
      </c>
      <c r="C16" s="12">
        <f>C14*C15</f>
        <v>8760</v>
      </c>
      <c r="D16" s="13" t="s">
        <v>11</v>
      </c>
    </row>
    <row r="17" spans="2:4" x14ac:dyDescent="0.25">
      <c r="B17" s="11"/>
      <c r="C17" s="12"/>
      <c r="D17" s="13"/>
    </row>
    <row r="18" spans="2:4" x14ac:dyDescent="0.25">
      <c r="B18" s="11"/>
      <c r="C18" s="12"/>
      <c r="D18" s="13"/>
    </row>
    <row r="19" spans="2:4" x14ac:dyDescent="0.25">
      <c r="B19" s="11"/>
      <c r="C19" s="12"/>
      <c r="D19" s="13"/>
    </row>
    <row r="20" spans="2:4" x14ac:dyDescent="0.25">
      <c r="B20" s="11"/>
      <c r="C20" s="12"/>
      <c r="D20" s="13"/>
    </row>
    <row r="21" spans="2:4" x14ac:dyDescent="0.25">
      <c r="B21" s="11"/>
      <c r="C21" s="12"/>
      <c r="D21" s="13"/>
    </row>
    <row r="22" spans="2:4" x14ac:dyDescent="0.25">
      <c r="B22" s="27" t="s">
        <v>23</v>
      </c>
      <c r="C22" s="28">
        <v>0</v>
      </c>
      <c r="D22" s="29" t="s">
        <v>12</v>
      </c>
    </row>
    <row r="23" spans="2:4" ht="15.75" thickBot="1" x14ac:dyDescent="0.3">
      <c r="B23" s="36" t="s">
        <v>26</v>
      </c>
      <c r="C23" s="37">
        <f>ROUND(C22*C16,-3)</f>
        <v>0</v>
      </c>
      <c r="D23" s="38" t="s">
        <v>16</v>
      </c>
    </row>
    <row r="24" spans="2:4" x14ac:dyDescent="0.25">
      <c r="B24" s="53" t="s">
        <v>20</v>
      </c>
      <c r="C24" s="54"/>
      <c r="D24" s="55"/>
    </row>
    <row r="25" spans="2:4" x14ac:dyDescent="0.25">
      <c r="B25" s="27" t="s">
        <v>30</v>
      </c>
      <c r="C25" s="28">
        <f>C11-C22</f>
        <v>0</v>
      </c>
      <c r="D25" s="29" t="s">
        <v>12</v>
      </c>
    </row>
    <row r="26" spans="2:4" ht="15.75" thickBot="1" x14ac:dyDescent="0.3">
      <c r="B26" s="36" t="s">
        <v>31</v>
      </c>
      <c r="C26" s="37">
        <f>C12-C23</f>
        <v>0</v>
      </c>
      <c r="D26" s="38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9f948f-4911-462a-81b0-6374204b4e49}" enabled="1" method="Standard" siteId="{793179ba-b289-4e57-9b15-3b89a142fd5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Rough Calcs</vt:lpstr>
      <vt:lpstr>Setup</vt:lpstr>
      <vt:lpstr>Analysis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Timme</dc:creator>
  <cp:lastModifiedBy>Ryan Timme</cp:lastModifiedBy>
  <dcterms:created xsi:type="dcterms:W3CDTF">2024-05-29T20:21:59Z</dcterms:created>
  <dcterms:modified xsi:type="dcterms:W3CDTF">2026-02-05T20:40:20Z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f948f-4911-462a-81b0-6374204b4e49_Enabled">
    <vt:lpwstr>true</vt:lpwstr>
  </property>
  <property fmtid="{D5CDD505-2E9C-101B-9397-08002B2CF9AE}" pid="3" name="MSIP_Label_509f948f-4911-462a-81b0-6374204b4e49_SetDate">
    <vt:lpwstr>2025-04-23T12:46:17Z</vt:lpwstr>
  </property>
  <property fmtid="{D5CDD505-2E9C-101B-9397-08002B2CF9AE}" pid="4" name="MSIP_Label_509f948f-4911-462a-81b0-6374204b4e49_Method">
    <vt:lpwstr>Standard</vt:lpwstr>
  </property>
  <property fmtid="{D5CDD505-2E9C-101B-9397-08002B2CF9AE}" pid="5" name="MSIP_Label_509f948f-4911-462a-81b0-6374204b4e49_Name">
    <vt:lpwstr>Private</vt:lpwstr>
  </property>
  <property fmtid="{D5CDD505-2E9C-101B-9397-08002B2CF9AE}" pid="6" name="MSIP_Label_509f948f-4911-462a-81b0-6374204b4e49_SiteId">
    <vt:lpwstr>793179ba-b289-4e57-9b15-3b89a142fd5e</vt:lpwstr>
  </property>
  <property fmtid="{D5CDD505-2E9C-101B-9397-08002B2CF9AE}" pid="7" name="MSIP_Label_509f948f-4911-462a-81b0-6374204b4e49_ActionId">
    <vt:lpwstr>19c92e6d-0ee9-42d6-abe1-f2cff37bfec0</vt:lpwstr>
  </property>
  <property fmtid="{D5CDD505-2E9C-101B-9397-08002B2CF9AE}" pid="8" name="MSIP_Label_509f948f-4911-462a-81b0-6374204b4e49_ContentBits">
    <vt:lpwstr>0</vt:lpwstr>
  </property>
  <property fmtid="{D5CDD505-2E9C-101B-9397-08002B2CF9AE}" pid="9" name="MSIP_Label_509f948f-4911-462a-81b0-6374204b4e49_Tag">
    <vt:lpwstr>10, 3, 0, 1</vt:lpwstr>
  </property>
</Properties>
</file>